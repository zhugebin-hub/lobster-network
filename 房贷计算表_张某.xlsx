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房贷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5" customWidth="1" min="4" max="4"/>
    <col width="15" customWidth="1" min="5" max="5"/>
    <col width="18" customWidth="1" min="6" max="6"/>
    <col width="15" customWidth="1" min="7" max="7"/>
  </cols>
  <sheetData>
    <row r="1">
      <c r="A1" s="1" t="inlineStr">
        <is>
          <t>购房按揭贷款计算表</t>
        </is>
      </c>
      <c r="E1" s="1" t="inlineStr">
        <is>
          <t>等额本息还款计算</t>
        </is>
      </c>
    </row>
    <row r="2">
      <c r="A2" s="2" t="inlineStr">
        <is>
          <t>项目</t>
        </is>
      </c>
      <c r="B2" s="2" t="inlineStr">
        <is>
          <t>数值</t>
        </is>
      </c>
      <c r="C2" s="2" t="inlineStr">
        <is>
          <t>说明</t>
        </is>
      </c>
      <c r="E2" s="2" t="inlineStr">
        <is>
          <t>项目</t>
        </is>
      </c>
      <c r="F2" s="2" t="inlineStr">
        <is>
          <t>公式</t>
        </is>
      </c>
      <c r="G2" s="3" t="inlineStr">
        <is>
          <t>结果</t>
        </is>
      </c>
    </row>
    <row r="3">
      <c r="A3" s="3" t="inlineStr">
        <is>
          <t>房屋面积</t>
        </is>
      </c>
      <c r="B3" s="3" t="n">
        <v>100</v>
      </c>
      <c r="C3" s="3" t="inlineStr">
        <is>
          <t>平方米</t>
        </is>
      </c>
      <c r="E3" s="3" t="inlineStr">
        <is>
          <t>月供</t>
        </is>
      </c>
      <c r="F3" s="4">
        <f>PMT(B11,B9,-B7)</f>
        <v/>
      </c>
      <c r="G3" s="3" t="inlineStr">
        <is>
          <t>元</t>
        </is>
      </c>
    </row>
    <row r="4">
      <c r="A4" s="3" t="inlineStr">
        <is>
          <t>房屋单价</t>
        </is>
      </c>
      <c r="B4" s="3" t="n">
        <v>30000</v>
      </c>
      <c r="C4" s="3" t="inlineStr">
        <is>
          <t>元/平方米</t>
        </is>
      </c>
      <c r="E4" s="3" t="inlineStr">
        <is>
          <t>总还款额</t>
        </is>
      </c>
      <c r="F4" s="4">
        <f>B14*B9</f>
        <v/>
      </c>
      <c r="G4" s="3" t="inlineStr">
        <is>
          <t>元</t>
        </is>
      </c>
    </row>
    <row r="5">
      <c r="A5" s="3" t="inlineStr">
        <is>
          <t>房屋总价</t>
        </is>
      </c>
      <c r="B5" s="3">
        <f>B2*B3</f>
        <v/>
      </c>
      <c r="C5" s="3" t="inlineStr">
        <is>
          <t>元</t>
        </is>
      </c>
      <c r="E5" s="3" t="inlineStr">
        <is>
          <t>总利息</t>
        </is>
      </c>
      <c r="F5" s="4">
        <f>B15-B7</f>
        <v/>
      </c>
      <c r="G5" s="3" t="inlineStr">
        <is>
          <t>元</t>
        </is>
      </c>
    </row>
    <row r="6">
      <c r="A6" s="3" t="inlineStr">
        <is>
          <t>首付比例</t>
        </is>
      </c>
      <c r="B6" s="3" t="inlineStr">
        <is>
          <t>15%</t>
        </is>
      </c>
      <c r="C6" s="3" t="inlineStr"/>
      <c r="E6" s="3" t="inlineStr">
        <is>
          <t>月收入要求</t>
        </is>
      </c>
      <c r="F6" s="4">
        <f>B14/0.5</f>
        <v/>
      </c>
      <c r="G6" s="3" t="inlineStr">
        <is>
          <t>元（月供/50%）</t>
        </is>
      </c>
    </row>
    <row r="7">
      <c r="A7" s="3" t="inlineStr">
        <is>
          <t>首付款</t>
        </is>
      </c>
      <c r="B7" s="3">
        <f>B4*B5</f>
        <v/>
      </c>
      <c r="C7" s="3" t="inlineStr">
        <is>
          <t>元</t>
        </is>
      </c>
    </row>
    <row r="8">
      <c r="A8" s="3" t="inlineStr">
        <is>
          <t>贷款金额</t>
        </is>
      </c>
      <c r="B8" s="3">
        <f>B4-B6</f>
        <v/>
      </c>
      <c r="C8" s="3" t="inlineStr">
        <is>
          <t>元</t>
        </is>
      </c>
    </row>
    <row r="9">
      <c r="A9" s="3" t="inlineStr">
        <is>
          <t>贷款期限</t>
        </is>
      </c>
      <c r="B9" s="3" t="n">
        <v>30</v>
      </c>
      <c r="C9" s="3" t="inlineStr">
        <is>
          <t>年</t>
        </is>
      </c>
    </row>
    <row r="10">
      <c r="A10" s="3" t="inlineStr">
        <is>
          <t>还款月数</t>
        </is>
      </c>
      <c r="B10" s="3">
        <f>B8*12</f>
        <v/>
      </c>
      <c r="C10" s="3" t="inlineStr">
        <is>
          <t>月</t>
        </is>
      </c>
    </row>
    <row r="11">
      <c r="A11" s="3" t="inlineStr">
        <is>
          <t>年利率</t>
        </is>
      </c>
      <c r="B11" s="3" t="inlineStr">
        <is>
          <t>3.85%</t>
        </is>
      </c>
      <c r="C11" s="3" t="inlineStr">
        <is>
          <t>2026 年首套房利率</t>
        </is>
      </c>
    </row>
    <row r="12">
      <c r="A12" s="3" t="inlineStr">
        <is>
          <t>月利率</t>
        </is>
      </c>
      <c r="B12" s="3">
        <f>B10/12</f>
        <v/>
      </c>
      <c r="C12" s="3" t="inlineStr"/>
    </row>
    <row r="20">
      <c r="A20" s="1" t="inlineStr">
        <is>
          <t>利率上浮 10% 对比分析</t>
        </is>
      </c>
      <c r="E20" s="1" t="inlineStr">
        <is>
          <t>组合贷款计算（公积金 + 商贷）</t>
        </is>
      </c>
    </row>
    <row r="21">
      <c r="A21" s="3" t="inlineStr">
        <is>
          <t>项目</t>
        </is>
      </c>
      <c r="B21" s="3" t="inlineStr">
        <is>
          <t>原利率 3.85%</t>
        </is>
      </c>
      <c r="C21" s="3" t="inlineStr">
        <is>
          <t>上浮后 4.235%</t>
        </is>
      </c>
      <c r="E21" s="3" t="inlineStr">
        <is>
          <t>项目</t>
        </is>
      </c>
      <c r="F21" s="3" t="inlineStr">
        <is>
          <t>公积金贷款</t>
        </is>
      </c>
      <c r="G21" s="3" t="inlineStr">
        <is>
          <t>商业贷款</t>
        </is>
      </c>
    </row>
    <row r="22">
      <c r="A22" s="3" t="inlineStr">
        <is>
          <t>年利率</t>
        </is>
      </c>
      <c r="B22" s="3" t="inlineStr">
        <is>
          <t>3.85%</t>
        </is>
      </c>
      <c r="C22" s="3">
        <f>B22*1.1</f>
        <v/>
      </c>
      <c r="E22" s="3" t="inlineStr">
        <is>
          <t>贷款金额</t>
        </is>
      </c>
      <c r="F22" s="3" t="n">
        <v>1000000</v>
      </c>
      <c r="G22" s="3">
        <f>B7-E22</f>
        <v/>
      </c>
    </row>
    <row r="23">
      <c r="A23" s="3" t="inlineStr">
        <is>
          <t>月利率</t>
        </is>
      </c>
      <c r="B23" s="3">
        <f>B22/12</f>
        <v/>
      </c>
      <c r="C23" s="3">
        <f>C22/12</f>
        <v/>
      </c>
      <c r="E23" s="3" t="inlineStr">
        <is>
          <t>年利率</t>
        </is>
      </c>
      <c r="F23" s="3" t="inlineStr">
        <is>
          <t>2.85%</t>
        </is>
      </c>
      <c r="G23" s="3" t="inlineStr">
        <is>
          <t>3.85%</t>
        </is>
      </c>
    </row>
    <row r="24">
      <c r="A24" s="3" t="inlineStr">
        <is>
          <t>月供</t>
        </is>
      </c>
      <c r="B24" s="3">
        <f>PMT(B23,$B$9,-$B$7)</f>
        <v/>
      </c>
      <c r="C24" s="3">
        <f>PMT(C23,$B$9,-$B$7)</f>
        <v/>
      </c>
      <c r="E24" s="3" t="inlineStr">
        <is>
          <t>月利率</t>
        </is>
      </c>
      <c r="F24" s="3">
        <f>E23/12</f>
        <v/>
      </c>
      <c r="G24" s="3">
        <f>F23/12</f>
        <v/>
      </c>
    </row>
    <row r="25">
      <c r="A25" s="3" t="inlineStr">
        <is>
          <t>总还款额</t>
        </is>
      </c>
      <c r="B25" s="3">
        <f>B24*$B$9</f>
        <v/>
      </c>
      <c r="C25" s="3">
        <f>C24*$B$9</f>
        <v/>
      </c>
      <c r="E25" s="3" t="inlineStr">
        <is>
          <t>月供</t>
        </is>
      </c>
      <c r="F25" s="3">
        <f>PMT(E24,$B$9,-E22)</f>
        <v/>
      </c>
      <c r="G25" s="3">
        <f>PMT(F24,$B$9,-F22)</f>
        <v/>
      </c>
    </row>
    <row r="26">
      <c r="A26" s="3" t="inlineStr">
        <is>
          <t>总利息</t>
        </is>
      </c>
      <c r="B26" s="3">
        <f>B25-$B$7</f>
        <v/>
      </c>
      <c r="C26" s="3">
        <f>C25-$B$7</f>
        <v/>
      </c>
      <c r="E26" s="3" t="inlineStr">
        <is>
          <t>总还款额</t>
        </is>
      </c>
      <c r="F26" s="3">
        <f>E25*$B$9</f>
        <v/>
      </c>
      <c r="G26" s="3">
        <f>F25*$B$9</f>
        <v/>
      </c>
    </row>
    <row r="27">
      <c r="A27" s="3" t="inlineStr">
        <is>
          <t>变化</t>
        </is>
      </c>
      <c r="B27" s="3" t="inlineStr">
        <is>
          <t>-</t>
        </is>
      </c>
      <c r="C27" s="3">
        <f>C24-B24</f>
        <v/>
      </c>
      <c r="D27" s="3">
        <f>C26-B26</f>
        <v/>
      </c>
      <c r="E27" s="3" t="inlineStr">
        <is>
          <t>总利息</t>
        </is>
      </c>
      <c r="F27" s="3">
        <f>E26-E22</f>
        <v/>
      </c>
      <c r="G27" s="3">
        <f>F26-F22</f>
        <v/>
      </c>
    </row>
    <row r="28">
      <c r="E28" s="3" t="inlineStr">
        <is>
          <t>组合贷款合计</t>
        </is>
      </c>
      <c r="F28" s="3">
        <f>E25+F25</f>
        <v/>
      </c>
      <c r="G28" s="3" t="inlineStr">
        <is>
          <t>元</t>
        </is>
      </c>
    </row>
    <row r="29">
      <c r="E29" s="3" t="inlineStr">
        <is>
          <t>组合贷款总利息</t>
        </is>
      </c>
      <c r="F29" s="3">
        <f>E27+F27</f>
        <v/>
      </c>
      <c r="G29" s="3" t="inlineStr">
        <is>
          <t>元</t>
        </is>
      </c>
    </row>
    <row r="30">
      <c r="E30" s="3" t="inlineStr">
        <is>
          <t>纯商贷总利息</t>
        </is>
      </c>
      <c r="F30" s="3">
        <f>B15</f>
        <v/>
      </c>
      <c r="G30" s="3" t="inlineStr">
        <is>
          <t>元</t>
        </is>
      </c>
    </row>
    <row r="31">
      <c r="E31" s="3" t="inlineStr">
        <is>
          <t>节省利息</t>
        </is>
      </c>
      <c r="F31" s="3">
        <f>B30-B29</f>
        <v/>
      </c>
      <c r="G31" s="3" t="inlineStr">
        <is>
          <t>元</t>
        </is>
      </c>
    </row>
    <row r="40">
      <c r="A40" s="1" t="inlineStr">
        <is>
          <t>等额本金还款计算</t>
        </is>
      </c>
    </row>
    <row r="41">
      <c r="A41" s="3" t="inlineStr">
        <is>
          <t>项目</t>
        </is>
      </c>
      <c r="B41" s="3" t="inlineStr">
        <is>
          <t>公式</t>
        </is>
      </c>
      <c r="C41" s="3" t="inlineStr">
        <is>
          <t>结果</t>
        </is>
      </c>
    </row>
    <row r="42">
      <c r="A42" s="3" t="inlineStr">
        <is>
          <t>每月本金</t>
        </is>
      </c>
      <c r="B42" s="3">
        <f>B7/B9</f>
        <v/>
      </c>
      <c r="C42" s="3" t="inlineStr">
        <is>
          <t>元（固定）</t>
        </is>
      </c>
    </row>
    <row r="43">
      <c r="A43" s="3" t="inlineStr">
        <is>
          <t>首月利息</t>
        </is>
      </c>
      <c r="B43" s="3">
        <f>B7*B11</f>
        <v/>
      </c>
      <c r="C43" s="3" t="inlineStr">
        <is>
          <t>元</t>
        </is>
      </c>
    </row>
    <row r="44">
      <c r="A44" s="3" t="inlineStr">
        <is>
          <t>首月月供</t>
        </is>
      </c>
      <c r="B44" s="3">
        <f>B42+B43</f>
        <v/>
      </c>
      <c r="C44" s="3" t="inlineStr">
        <is>
          <t>元</t>
        </is>
      </c>
    </row>
    <row r="45">
      <c r="A45" s="3" t="inlineStr">
        <is>
          <t>每月递减</t>
        </is>
      </c>
      <c r="B45" s="3">
        <f>B42*B11</f>
        <v/>
      </c>
      <c r="C45" s="3" t="inlineStr">
        <is>
          <t>元</t>
        </is>
      </c>
    </row>
    <row r="46">
      <c r="A46" s="3" t="inlineStr">
        <is>
          <t>总利息</t>
        </is>
      </c>
      <c r="B46" s="3">
        <f>(B43+B42*B11)*B9/2</f>
        <v/>
      </c>
      <c r="C46" s="3" t="inlineStr">
        <is>
          <t>元</t>
        </is>
      </c>
    </row>
    <row r="47">
      <c r="A47" s="3" t="inlineStr">
        <is>
          <t>等额本息总利息</t>
        </is>
      </c>
      <c r="B47" s="3">
        <f>B15</f>
        <v/>
      </c>
      <c r="C47" s="3" t="inlineStr">
        <is>
          <t>元</t>
        </is>
      </c>
    </row>
    <row r="48">
      <c r="A48" s="3" t="inlineStr">
        <is>
          <t>利息差额</t>
        </is>
      </c>
      <c r="B48" s="3">
        <f>B46-B45</f>
        <v/>
      </c>
      <c r="C48" s="3" t="inlineStr">
        <is>
          <t>元</t>
        </is>
      </c>
    </row>
  </sheetData>
  <mergeCells count="5">
    <mergeCell ref="A1:C1"/>
    <mergeCell ref="A40:C40"/>
    <mergeCell ref="A20:C20"/>
    <mergeCell ref="E20:G20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2026-04-22T10:13:54Z</dcterms:created>
  <dcterms:modified xmlns:dcterms="http://purl.org/dc/terms/" xmlns:xsi="http://www.w3.org/2001/XMLSchema-instance" xsi:type="dcterms:W3CDTF">2026-04-22T10:13:54Z</dcterms:modified>
</cp:coreProperties>
</file>